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ID</t>
        </is>
      </c>
      <c r="B1" s="1" t="inlineStr">
        <is>
          <t>Subject</t>
        </is>
      </c>
      <c r="C1" s="1" t="inlineStr">
        <is>
          <t>Difficulty Level</t>
        </is>
      </c>
      <c r="D1" s="1" t="inlineStr">
        <is>
          <t>Problem Type</t>
        </is>
      </c>
      <c r="E1" s="1" t="inlineStr">
        <is>
          <t>Overview</t>
        </is>
      </c>
      <c r="F1" s="1" t="inlineStr">
        <is>
          <t>Dataset</t>
        </is>
      </c>
      <c r="G1" s="1" t="inlineStr">
        <is>
          <t>Evaluation Metric</t>
        </is>
      </c>
      <c r="H1" s="1" t="inlineStr">
        <is>
          <t>Source Code</t>
        </is>
      </c>
      <c r="I1" s="1" t="inlineStr">
        <is>
          <t>Discussion</t>
        </is>
      </c>
      <c r="J1" s="1" t="inlineStr">
        <is>
          <t>Kaggle Notebook</t>
        </is>
      </c>
      <c r="K1" s="1" t="inlineStr">
        <is>
          <t>Hugging Face Demo</t>
        </is>
      </c>
      <c r="L1" s="1" t="inlineStr">
        <is>
          <t>GitHub Repository</t>
        </is>
      </c>
    </row>
    <row r="2">
      <c r="A2" t="n">
        <v>1</v>
      </c>
      <c r="B2" t="inlineStr">
        <is>
          <t>Health | Diabetes prediction</t>
        </is>
      </c>
      <c r="C2" t="inlineStr">
        <is>
          <t>Playground | Beginner</t>
        </is>
      </c>
      <c r="D2" t="inlineStr">
        <is>
          <t>Binary Classification</t>
        </is>
      </c>
      <c r="E2" t="inlineStr">
        <is>
          <t>Predicting the likelihood of a patient being diagnosed with diabetes.</t>
        </is>
      </c>
      <c r="F2" t="inlineStr">
        <is>
          <t>Tabular | 3 files | Train / Test | CSV</t>
        </is>
      </c>
      <c r="G2" t="inlineStr">
        <is>
          <t>ROC-AUC</t>
        </is>
      </c>
      <c r="H2" t="inlineStr">
        <is>
          <t>There are many notebooks</t>
        </is>
      </c>
      <c r="I2" t="inlineStr">
        <is>
          <t>There is an active discussion area</t>
        </is>
      </c>
      <c r="J2">
        <f>HYPERLINK("https://www.kaggle.com/code/sevvalclalcebeciolu/diabetes-prediction-binary-classification/notebook","View Notebook")</f>
        <v/>
      </c>
      <c r="K2">
        <f>HYPERLINK("https://huggingface.co/spaces/sevvaliclal/DiabetesPredictionApp","Live Demo")</f>
        <v/>
      </c>
      <c r="L2">
        <f>HYPERLINK("https://github.com/sevvaliclalcebecioglu/DiabetesPrediction-BinaryClassification","Source Code")</f>
        <v/>
      </c>
    </row>
    <row r="3">
      <c r="A3" t="n">
        <v>2</v>
      </c>
      <c r="B3" t="inlineStr">
        <is>
          <t>Finance / Debt Forecast</t>
        </is>
      </c>
      <c r="C3" t="inlineStr">
        <is>
          <t>Playground | Beginner</t>
        </is>
      </c>
      <c r="D3" t="inlineStr">
        <is>
          <t>Binary Classification</t>
        </is>
      </c>
      <c r="E3" t="inlineStr">
        <is>
          <t>Predict if a loan will be paid back using tabular data.</t>
        </is>
      </c>
      <c r="F3" t="inlineStr">
        <is>
          <t>Tabular | 3 files | Train / Test | CSV</t>
        </is>
      </c>
      <c r="G3" t="inlineStr">
        <is>
          <t>ROC-AUC</t>
        </is>
      </c>
      <c r="H3" t="inlineStr">
        <is>
          <t>There are many notebooks</t>
        </is>
      </c>
      <c r="I3" t="inlineStr">
        <is>
          <t>There is an active discussion area</t>
        </is>
      </c>
      <c r="J3">
        <f>HYPERLINK("https://www.kaggle.com/code/sevvalclalcebeciolu/predicting-loan-payback-binary-classification/notebook","View Notebook")</f>
        <v/>
      </c>
      <c r="K3">
        <f>HYPERLINK("https://huggingface.co/spaces/sevvaliclal/PredictingLoanPayback","Live Demo")</f>
        <v/>
      </c>
      <c r="L3">
        <f>HYPERLINK("https://github.com/sevvaliclalcebecioglu/Loan-Repayment-Prediction","Source Code")</f>
        <v/>
      </c>
    </row>
    <row r="4">
      <c r="A4" t="n">
        <v>3</v>
      </c>
      <c r="B4" t="inlineStr">
        <is>
          <t>Personality / Behavior | Introvert vs Extrovert</t>
        </is>
      </c>
      <c r="C4" t="inlineStr">
        <is>
          <t>Playground | Beginner</t>
        </is>
      </c>
      <c r="D4" t="inlineStr">
        <is>
          <t>Binary Classification</t>
        </is>
      </c>
      <c r="E4" t="inlineStr">
        <is>
          <t>Predict whether a person is introvert or extrovert from tabular personality/behavior data.</t>
        </is>
      </c>
      <c r="F4" t="inlineStr">
        <is>
          <t>Tabular | 3 files | Train / Test | CSV</t>
        </is>
      </c>
      <c r="G4" t="inlineStr">
        <is>
          <t>Accuracy-Score</t>
        </is>
      </c>
      <c r="H4" t="inlineStr">
        <is>
          <t>There are many notebooks</t>
        </is>
      </c>
      <c r="I4" t="inlineStr">
        <is>
          <t>There is an active discussion area</t>
        </is>
      </c>
      <c r="J4">
        <f>HYPERLINK("https://www.kaggle.com/code/sevvalclalcebeciolu/predict-the-introverts-from-the-extroverts?scriptVersionId=297026117","View Notebook")</f>
        <v/>
      </c>
      <c r="K4">
        <f>HYPERLINK("https://huggingface.co/spaces/sevvaliclal/Predicttheintrovertsfromtheextroverts","Live Demo")</f>
        <v/>
      </c>
      <c r="L4">
        <f>HYPERLINK("https://github.com/sevvaliclalcebecioglu/Predict-the-Introverts-from-the-Extroverts","Source Code")</f>
        <v/>
      </c>
    </row>
    <row r="5">
      <c r="A5" t="n">
        <v>4</v>
      </c>
      <c r="B5" t="inlineStr">
        <is>
          <t>Weather | Rainfall Prediction</t>
        </is>
      </c>
      <c r="C5" t="inlineStr">
        <is>
          <t>Playground | Beginner</t>
        </is>
      </c>
      <c r="D5" t="inlineStr">
        <is>
          <t>Binary Classification</t>
        </is>
      </c>
      <c r="E5" t="inlineStr">
        <is>
          <t>Predict rainfall for each day of the year.</t>
        </is>
      </c>
      <c r="F5" t="inlineStr">
        <is>
          <t>Tabular | 3 files | Train / Test | CSV</t>
        </is>
      </c>
      <c r="G5" t="inlineStr">
        <is>
          <t>Roc-Auc-Score</t>
        </is>
      </c>
      <c r="H5" t="inlineStr">
        <is>
          <t>There are many notebooks</t>
        </is>
      </c>
      <c r="I5" t="inlineStr">
        <is>
          <t>There is an active discussion area</t>
        </is>
      </c>
      <c r="J5">
        <f>HYPERLINK("https://www.kaggle.com/code/sevvalclalcebeciolu/binary-prediction-with-a-rainfall-dataset?scriptVersionId=297023069","View Notebook")</f>
        <v/>
      </c>
      <c r="K5">
        <f>HYPERLINK("https://huggingface.co/spaces/sevvaliclal/BinaryPredictionwithaRainfallDataset","Live Demo")</f>
        <v/>
      </c>
      <c r="L5">
        <f>HYPERLINK("https://github.com/sevvaliclalcebecioglu/Binary-Prediction-with-a-Rainfall-Dataset","Source Code")</f>
        <v/>
      </c>
    </row>
    <row r="6">
      <c r="A6" t="n">
        <v>5</v>
      </c>
      <c r="B6" t="inlineStr">
        <is>
          <t>Traffic / Road Safety | Predicting Road Accident Risk</t>
        </is>
      </c>
      <c r="C6" t="inlineStr">
        <is>
          <t>Playground | Beginner</t>
        </is>
      </c>
      <c r="D6" t="inlineStr">
        <is>
          <t>Regression</t>
        </is>
      </c>
      <c r="E6" t="inlineStr">
        <is>
          <t>Predicting accident risk scores from tabular road and environment data.</t>
        </is>
      </c>
      <c r="F6" t="inlineStr">
        <is>
          <t>Tabular | 3 files | Train / Test | CSV</t>
        </is>
      </c>
      <c r="G6" t="inlineStr">
        <is>
          <t>Mean-Squared-Error</t>
        </is>
      </c>
      <c r="H6" t="inlineStr">
        <is>
          <t>There are many notebooks</t>
        </is>
      </c>
      <c r="I6" t="inlineStr">
        <is>
          <t>There is an active discussion area</t>
        </is>
      </c>
      <c r="J6">
        <f>HYPERLINK("https://www.kaggle.com/code/sevvalclalcebeciolu/accident-risk-prediction/notebook?scriptVersionId=297166189","View Notebook")</f>
        <v/>
      </c>
      <c r="K6">
        <f>HYPERLINK("https://huggingface.co/spaces/sevvaliclal/AccidentRiskPredictionApp","Live Demo")</f>
        <v/>
      </c>
      <c r="L6">
        <f>HYPERLINK("https://github.com/sevvaliclalcebecioglu/Accident-Risk-Prediction","Source Code")</f>
        <v/>
      </c>
    </row>
    <row r="7">
      <c r="A7" t="n">
        <v>6</v>
      </c>
      <c r="B7" t="inlineStr">
        <is>
          <t>Health / Fitness | Predict Calorie Expenditure</t>
        </is>
      </c>
      <c r="C7" t="inlineStr">
        <is>
          <t>Playground | Beginner</t>
        </is>
      </c>
      <c r="D7" t="inlineStr">
        <is>
          <t>Regression</t>
        </is>
      </c>
      <c r="E7" t="inlineStr">
        <is>
          <t>Predict the number of calories burned using physiological and demographic data.</t>
        </is>
      </c>
      <c r="F7" t="inlineStr">
        <is>
          <t>Tabular | 3 files | Train / Test | CSV</t>
        </is>
      </c>
      <c r="G7" t="inlineStr">
        <is>
          <t>RMSLE</t>
        </is>
      </c>
      <c r="H7" t="inlineStr">
        <is>
          <t>There are many notebooks</t>
        </is>
      </c>
      <c r="I7" t="inlineStr">
        <is>
          <t>There is an active discussion area</t>
        </is>
      </c>
      <c r="J7">
        <f>HYPERLINK("https://www.kaggle.com/code/sevvalclalcebeciolu/predict-calorie-expenditure/notebook?scriptVersionId=297194241","View Notebook")</f>
        <v/>
      </c>
      <c r="K7">
        <f>HYPERLINK("https://huggingface.co/spaces/sevvaliclal/CalorieBurnPredictor","Live Demo")</f>
        <v/>
      </c>
      <c r="L7">
        <f>HYPERLINK("https://github.com/sevvaliclalcebecioglu/Predict-Calorie-Expenditure","Source Code")</f>
        <v/>
      </c>
    </row>
    <row r="8">
      <c r="A8" t="n">
        <v>7</v>
      </c>
      <c r="B8" t="inlineStr">
        <is>
          <t>Podcast Listening Time Prediction</t>
        </is>
      </c>
      <c r="C8" t="inlineStr">
        <is>
          <t>Playground | Beginner</t>
        </is>
      </c>
      <c r="D8" t="inlineStr">
        <is>
          <t>Regression</t>
        </is>
      </c>
      <c r="E8" t="inlineStr">
        <is>
          <t>Predict the listening time of podcast episodes using tabular features like episode metadata and length.</t>
        </is>
      </c>
      <c r="F8" t="inlineStr">
        <is>
          <t>Tabular | 3 files | Train / Test | CSV</t>
        </is>
      </c>
      <c r="G8" t="inlineStr">
        <is>
          <t>Mean-Squared-Error</t>
        </is>
      </c>
      <c r="H8" t="inlineStr">
        <is>
          <t>There are many notebooks</t>
        </is>
      </c>
      <c r="I8" t="inlineStr">
        <is>
          <t>There is an active discussion area</t>
        </is>
      </c>
      <c r="J8">
        <f>HYPERLINK("https://www.kaggle.com/code/sevvalclalcebeciolu/podcast-listening-time-prediction/notebook?scriptVersionId=297204038","View Notebook")</f>
        <v/>
      </c>
      <c r="K8">
        <f>HYPERLINK("https://huggingface.co/spaces/sevvaliclal/PodcastListeningTimePredictor","Live Demo")</f>
        <v/>
      </c>
      <c r="L8">
        <f>HYPERLINK("https://github.com/sevvaliclalcebecioglu/Podcast-Listening-Time-Prediction","Source Code")</f>
        <v/>
      </c>
    </row>
    <row r="9">
      <c r="A9" t="n">
        <v>8</v>
      </c>
      <c r="B9" t="inlineStr">
        <is>
          <t>Generative AI | Text-to-SVG Image Generation</t>
        </is>
      </c>
      <c r="C9" t="inlineStr">
        <is>
          <t>Advanced | Experimental</t>
        </is>
      </c>
      <c r="D9" t="inlineStr">
        <is>
          <t>Text-to-Image</t>
        </is>
      </c>
      <c r="E9" t="inlineStr">
        <is>
          <t>Given a text prompt describing an image, the task is to generate valid SVG code that visually represents the description as faithfully as possible using LLM-based or rule-based models.</t>
        </is>
      </c>
      <c r="F9" t="inlineStr">
        <is>
          <t>Text prompts (descriptions) | No traditional tabular dataset | Hidden test set</t>
        </is>
      </c>
      <c r="G9" t="inlineStr">
        <is>
          <t>Custom-Metric</t>
        </is>
      </c>
      <c r="H9" t="inlineStr">
        <is>
          <t>There are many notebooks</t>
        </is>
      </c>
      <c r="I9" t="inlineStr">
        <is>
          <t>There is an active discussion area</t>
        </is>
      </c>
      <c r="J9">
        <f>HYPERLINK("https://www.kaggle.com/code/sevvalclalcebeciolu/drawing-with-llms-svg-image-generation/notebook?scriptVersionId=297487453","View Notebook")</f>
        <v/>
      </c>
      <c r="K9">
        <f>HYPERLINK("https://huggingface.co/spaces/sevvaliclal/AIPoweredSVGGeneration","Live Demo")</f>
        <v/>
      </c>
      <c r="L9">
        <f>HYPERLINK("https://github.com/sevvaliclalcebecioglu/LLM-to-SVG","Source Code")</f>
        <v/>
      </c>
    </row>
    <row r="10">
      <c r="A10" t="n">
        <v>9</v>
      </c>
      <c r="B10" t="inlineStr">
        <is>
          <t>Retail | Product Price Prediction</t>
        </is>
      </c>
      <c r="C10" t="inlineStr">
        <is>
          <t>Playground | Beginner</t>
        </is>
      </c>
      <c r="D10" t="inlineStr">
        <is>
          <t>Regression</t>
        </is>
      </c>
      <c r="E10" t="inlineStr">
        <is>
          <t>Predict the price of backpacks based on various product attributes using tabular data.</t>
        </is>
      </c>
      <c r="F10" t="inlineStr">
        <is>
          <t>Tabular | 4 files | Train / Test | CSV</t>
        </is>
      </c>
      <c r="G10" t="inlineStr">
        <is>
          <t>Root-Mean-Squared-Error</t>
        </is>
      </c>
      <c r="H10" t="inlineStr">
        <is>
          <t>There are many notebooks</t>
        </is>
      </c>
      <c r="I10" t="inlineStr">
        <is>
          <t>There is an active discussion area</t>
        </is>
      </c>
      <c r="J10">
        <f>HYPERLINK("https://www.kaggle.com/code/sevvalclalcebeciolu/backpack-price-prediction/notebook?scriptVersionId=297210599","View Notebook")</f>
        <v/>
      </c>
      <c r="K10">
        <f>HYPERLINK("https://huggingface.co/spaces/sevvaliclal/Backpack-Price-Predictor","Live Demo")</f>
        <v/>
      </c>
      <c r="L10">
        <f>HYPERLINK("https://github.com/sevvaliclalcebecioglu/Backpack-Price-Prediction-Kaggle-S5E2","Source Code")</f>
        <v/>
      </c>
    </row>
    <row r="11">
      <c r="A11" t="n">
        <v>10</v>
      </c>
      <c r="B11" t="inlineStr">
        <is>
          <t>Automotive | Used Car Price Prediction</t>
        </is>
      </c>
      <c r="C11" t="inlineStr">
        <is>
          <t>Playground | Beginner</t>
        </is>
      </c>
      <c r="D11" t="inlineStr">
        <is>
          <t>Regression</t>
        </is>
      </c>
      <c r="E11" t="inlineStr">
        <is>
          <t>Predict the price of used cars based on various vehicle attributes using synthetic tabular data.</t>
        </is>
      </c>
      <c r="F11" t="inlineStr">
        <is>
          <t>Tabular | 3 files | Train / Test | CSV</t>
        </is>
      </c>
      <c r="G11" t="inlineStr">
        <is>
          <t>Root-Mean-Squared-Error</t>
        </is>
      </c>
      <c r="H11" t="inlineStr">
        <is>
          <t>There are many notebooks</t>
        </is>
      </c>
      <c r="I11" t="inlineStr">
        <is>
          <t>There is an active discussion area</t>
        </is>
      </c>
      <c r="J11">
        <f>HYPERLINK("https://www.kaggle.com/code/sevvalclalcebeciolu/used-car-price-prediction?scriptVersionId=297214464","View Notebook")</f>
        <v/>
      </c>
      <c r="K11">
        <f>HYPERLINK("https://huggingface.co/spaces/sevvaliclal/UsedCarPricePredictor","Live Demo")</f>
        <v/>
      </c>
      <c r="L11">
        <f>HYPERLINK("https://github.com/sevvaliclalcebecioglu/Used-Car-Price-Prediction","Source Code")</f>
        <v/>
      </c>
    </row>
    <row r="12">
      <c r="A12" t="n">
        <v>11</v>
      </c>
      <c r="B12" t="inlineStr">
        <is>
          <t>Computer Vision | 3D Reconstruction | Image Matching</t>
        </is>
      </c>
      <c r="C12" t="inlineStr">
        <is>
          <t>Advanced | Research-Level</t>
        </is>
      </c>
      <c r="D12" t="inlineStr">
        <is>
          <t>3D Pose Estimation | Structure from Motion (SfM)</t>
        </is>
      </c>
      <c r="E12" t="inlineStr">
        <is>
          <t>Reconstruct accurate 3D scenes by estimating camera poses from multiple 2D images captured across six challenging real-world domains such as phototourism, aerial imagery, nighttime scenes, and natural environments.</t>
        </is>
      </c>
      <c r="F12" t="inlineStr">
        <is>
          <t>Image datasets | Multiple domains | Real-world photographs</t>
        </is>
      </c>
      <c r="G12" t="inlineStr">
        <is>
          <t>Mean-Average-Accuracy</t>
        </is>
      </c>
      <c r="H12" t="inlineStr">
        <is>
          <t>There are many notebooks</t>
        </is>
      </c>
      <c r="I12" t="inlineStr">
        <is>
          <t>There is an active discussion area</t>
        </is>
      </c>
      <c r="J12">
        <f>HYPERLINK("https://www.kaggle.com/code/sevvalclalcebeciolu/image-matching-challenge","View Notebook")</f>
        <v/>
      </c>
      <c r="K12">
        <f>HYPERLINK("https://huggingface.co/spaces/sevvaliclal/ImageMatchingChallenge","Live Demo")</f>
        <v/>
      </c>
      <c r="L12">
        <f>HYPERLINK("https://github.com/sevvaliclalcebecioglu/Image-Matching-Challenge","Source Code")</f>
        <v/>
      </c>
    </row>
    <row r="13">
      <c r="A13" t="n">
        <v>12</v>
      </c>
      <c r="B13" t="inlineStr">
        <is>
          <t>AI Sustainability | Energy &amp; Emissions Estimation</t>
        </is>
      </c>
      <c r="C13" t="inlineStr">
        <is>
          <t>Intermediate - Advanced</t>
        </is>
      </c>
      <c r="D13" t="inlineStr">
        <is>
          <t>Retrieval-Augmented Generation (RAG) | QA | Information Extraction</t>
        </is>
      </c>
      <c r="E13" t="inlineStr">
        <is>
          <t>Build a RAG system that answers sustainability-related questions about AI workloads using academic literature, with evidence-backed and citation-faithful outputs.</t>
        </is>
      </c>
      <c r="F13" t="inlineStr">
        <is>
          <t>Text-based</t>
        </is>
      </c>
      <c r="G13" t="inlineStr">
        <is>
          <t>Custom-WattBot-Score</t>
        </is>
      </c>
      <c r="H13" t="inlineStr">
        <is>
          <t>There are many notebooks</t>
        </is>
      </c>
      <c r="I13" t="inlineStr">
        <is>
          <t>There is an active discussion area</t>
        </is>
      </c>
      <c r="J13">
        <f>HYPERLINK("https://www.kaggle.com/code/sevvalclalcebeciolu/wattbot-rag-system/notebook?scriptVersionId=297574920","View Notebook")</f>
        <v/>
      </c>
      <c r="K13">
        <f>HYPERLINK("https://huggingface.co/spaces/sevvaliclal/WattBotRAG","Live Demo")</f>
        <v/>
      </c>
      <c r="L13">
        <f>HYPERLINK("https://github.com/sevvaliclalcebecioglu/WattBot-RAG-System","Source Code")</f>
        <v/>
      </c>
    </row>
    <row r="14">
      <c r="A14" t="n">
        <v>13</v>
      </c>
      <c r="B14" t="inlineStr">
        <is>
          <t>Finance | Customer Churn Prediction</t>
        </is>
      </c>
      <c r="C14" t="inlineStr">
        <is>
          <t>Playground | Beginner - Intermediate</t>
        </is>
      </c>
      <c r="D14" t="inlineStr">
        <is>
          <t>Binary Classification</t>
        </is>
      </c>
      <c r="E14" t="inlineStr">
        <is>
          <t>Predict whether a bank customer will continue using their account or close it (customer churn prediction).</t>
        </is>
      </c>
      <c r="F14" t="inlineStr">
        <is>
          <t>Tabular | 3 files | Train / Test | CSV</t>
        </is>
      </c>
      <c r="G14" t="inlineStr">
        <is>
          <t>ROC-AUC</t>
        </is>
      </c>
      <c r="H14" t="inlineStr">
        <is>
          <t>There are many notebooks</t>
        </is>
      </c>
      <c r="I14" t="inlineStr">
        <is>
          <t>There is an active discussion area</t>
        </is>
      </c>
      <c r="J14">
        <f>HYPERLINK("https://www.kaggle.com/code/sevvalclalcebeciolu/binary-classification-with-a-bank-churn-dataset?scriptVersionId=297032539","View Notebook")</f>
        <v/>
      </c>
      <c r="K14">
        <f>HYPERLINK("https://huggingface.co/spaces/sevvaliclal/BinaryClassificationwithaBankChurnDataset","Live Demo")</f>
        <v/>
      </c>
      <c r="L14">
        <f>HYPERLINK("https://github.com/sevvaliclalcebecioglu/BinaryClassificationwithaBankChurnDataset","Source Code")</f>
        <v/>
      </c>
    </row>
    <row r="15">
      <c r="A15" t="n">
        <v>14</v>
      </c>
      <c r="B15" t="inlineStr">
        <is>
          <t>Machine Learning | Regression | Tabular Data</t>
        </is>
      </c>
      <c r="C15" t="inlineStr">
        <is>
          <t>Advanced</t>
        </is>
      </c>
      <c r="D15" t="inlineStr">
        <is>
          <t>Regression</t>
        </is>
      </c>
      <c r="E15" t="inlineStr">
        <is>
          <t>Build a machine learning model to predict the total trip duration of taxi rides in New York City. The dataset includes pickup datetime, pickup &amp; dropoff coordinates, passenger count, and other trip-related features. The evaluation metric is Root Mean Squared Logarithmic Error (RMSLE), which penalizes underestimation more than overestimation and is robust to large target values.</t>
        </is>
      </c>
      <c r="F15" t="inlineStr">
        <is>
          <t>Tabular</t>
        </is>
      </c>
      <c r="G15" t="inlineStr">
        <is>
          <t>RMSLE</t>
        </is>
      </c>
      <c r="H15" t="inlineStr">
        <is>
          <t>There are many notebooks</t>
        </is>
      </c>
      <c r="I15" t="inlineStr">
        <is>
          <t>There is an active discussion area</t>
        </is>
      </c>
      <c r="J15">
        <f>HYPERLINK("https://www.kaggle.com/code/sevvalclalcebeciolu/new-york-city-taxi-trip-duration/notebook?scriptVersionId=297407072","View Notebook")</f>
        <v/>
      </c>
      <c r="K15">
        <f>HYPERLINK("https://huggingface.co/spaces/sevvaliclal/NYCTaxiTripDurationPredictionApp","Live Demo")</f>
        <v/>
      </c>
      <c r="L15">
        <f>HYPERLINK("https://github.com/sevvaliclalcebecioglu/nyc-taxi-trip-duration-regression","Source Code")</f>
        <v/>
      </c>
    </row>
    <row r="16">
      <c r="A16" t="n">
        <v>15</v>
      </c>
      <c r="B16" t="inlineStr">
        <is>
          <t>Computer Vision | Image Classification | Probability</t>
        </is>
      </c>
      <c r="C16" t="inlineStr">
        <is>
          <t>Beginner</t>
        </is>
      </c>
      <c r="D16" t="inlineStr">
        <is>
          <t>Binary Image Classification</t>
        </is>
      </c>
      <c r="E16" t="inlineStr">
        <is>
          <t>Predict the outcome of a coin toss (heads or tails) from cropped photographs.</t>
        </is>
      </c>
      <c r="F16" t="inlineStr">
        <is>
          <t>Image Data | Train - Test</t>
        </is>
      </c>
      <c r="G16" t="inlineStr">
        <is>
          <t>ROC-AUC</t>
        </is>
      </c>
      <c r="H16" t="inlineStr">
        <is>
          <t>There are many notebooks</t>
        </is>
      </c>
      <c r="I16" t="inlineStr">
        <is>
          <t>There is an active discussion area</t>
        </is>
      </c>
      <c r="J16">
        <f>HYPERLINK("https://www.kaggle.com/code/sevvalclalcebeciolu/coin-toss-image-classification-with-deep-learning/notebook?scriptVersionId=297331711","View Notebook")</f>
        <v/>
      </c>
      <c r="K16">
        <f>HYPERLINK("https://huggingface.co/spaces/sevvaliclal/HeadsorTailsPredictor","Live Demo")</f>
        <v/>
      </c>
      <c r="L16">
        <f>HYPERLINK("https://github.com/sevvaliclalcebecioglu/Heads-or-Tails","Source Code")</f>
        <v/>
      </c>
    </row>
    <row r="17">
      <c r="A17" t="n">
        <v>16</v>
      </c>
      <c r="B17" t="inlineStr">
        <is>
          <t>Computer Vision | Image Classification</t>
        </is>
      </c>
      <c r="C17" t="inlineStr">
        <is>
          <t>Beginner</t>
        </is>
      </c>
      <c r="D17" t="inlineStr">
        <is>
          <t>Binary Image Classification</t>
        </is>
      </c>
      <c r="E17" t="inlineStr">
        <is>
          <t>Build a model that can distinguish between images of cats and dogs by predicting whether a given image contains a cat or a dog. This task emphasizes visual feature extraction and generalization to unseen images.</t>
        </is>
      </c>
      <c r="F17" t="inlineStr">
        <is>
          <t>Image Data | Train - Test</t>
        </is>
      </c>
      <c r="G17" t="inlineStr">
        <is>
          <t>Accuracy or similar classification metric on the hidden test set (standard for image classification)</t>
        </is>
      </c>
      <c r="H17" t="inlineStr">
        <is>
          <t>There are many notebooks</t>
        </is>
      </c>
      <c r="I17" t="inlineStr">
        <is>
          <t>no</t>
        </is>
      </c>
      <c r="J17">
        <f>HYPERLINK("https://www.kaggle.com/code/sevvalclalcebeciolu/cat-vs-dog-image-classification/notebook?scriptVersionId=297343075","View Notebook")</f>
        <v/>
      </c>
      <c r="K17">
        <f>HYPERLINK("https://huggingface.co/spaces/sevvaliclal/CatvsDogClassifier","Live Demo")</f>
        <v/>
      </c>
      <c r="L17">
        <f>HYPERLINK("https://github.com/sevvaliclalcebecioglu/Cat-vs-Dog-Image-Classifier","Source Code")</f>
        <v/>
      </c>
    </row>
    <row r="18">
      <c r="A18" t="n">
        <v>17</v>
      </c>
      <c r="B18" t="inlineStr">
        <is>
          <t>Computer Vision | Image Classification | Multiclass</t>
        </is>
      </c>
      <c r="C18" t="inlineStr">
        <is>
          <t>Beginner</t>
        </is>
      </c>
      <c r="D18" t="inlineStr">
        <is>
          <t>Multiclass Image Classification</t>
        </is>
      </c>
      <c r="E18" t="inlineStr">
        <is>
          <t>Build a model to classify street food images into distinct food categories using a curated dataset of everyday dish photographs.</t>
        </is>
      </c>
      <c r="F18" t="inlineStr">
        <is>
          <t>Image Data | Train - Test</t>
        </is>
      </c>
      <c r="G18" t="inlineStr">
        <is>
          <t>Accuracy-Score</t>
        </is>
      </c>
      <c r="H18" t="inlineStr">
        <is>
          <t>There are many notebooks</t>
        </is>
      </c>
      <c r="I18" t="inlineStr">
        <is>
          <t>no</t>
        </is>
      </c>
      <c r="J18">
        <f>HYPERLINK("https://www.kaggle.com/code/sevvalclalcebeciolu/street-food-image-classification-with-tl/notebook?scriptVersionId=297345220","View Notebook")</f>
        <v/>
      </c>
      <c r="K18">
        <f>HYPERLINK("https://huggingface.co/spaces/sevvaliclal/StreetFoodClassifier","Live Demo")</f>
        <v/>
      </c>
      <c r="L18">
        <f>HYPERLINK("https://github.com/sevvaliclalcebecioglu/street-food-image-classification","Source Code")</f>
        <v/>
      </c>
    </row>
    <row r="19">
      <c r="A19" t="n">
        <v>18</v>
      </c>
      <c r="B19" t="inlineStr">
        <is>
          <t>Health | Animals</t>
        </is>
      </c>
      <c r="C19" t="inlineStr">
        <is>
          <t>Beginner</t>
        </is>
      </c>
      <c r="D19" t="inlineStr">
        <is>
          <t>Multiclass Classification</t>
        </is>
      </c>
      <c r="E19" t="inlineStr">
        <is>
          <t>Predict health outcomes or survival labels using a synthetic dataset generated from a deep learning model trained on a portion of the Horse Survival dataset. The synthetic nature allows exploration of differences between the original and generated distributions.</t>
        </is>
      </c>
      <c r="F19" t="inlineStr">
        <is>
          <t>Tabular | 3 files | Train / Test | CSV</t>
        </is>
      </c>
      <c r="G19" t="inlineStr">
        <is>
          <t>Micro-averaged F1-Score</t>
        </is>
      </c>
      <c r="H19" t="inlineStr">
        <is>
          <t>There are many notebooks</t>
        </is>
      </c>
      <c r="I19" t="inlineStr">
        <is>
          <t>There is an active discussion area</t>
        </is>
      </c>
      <c r="J19">
        <f>HYPERLINK("https://www.kaggle.com/code/sevvalclalcebeciolu/horse-health-outcome-prediction/notebook?scriptVersionId=297153010","View Notebook")</f>
        <v/>
      </c>
      <c r="K19">
        <f>HYPERLINK("https://huggingface.co/spaces/sevvaliclal/HorseHealthOutcomePredictionApp","Live Demo")</f>
        <v/>
      </c>
      <c r="L19">
        <f>HYPERLINK("https://github.com/sevvaliclalcebecioglu/Horse-Health-Outcome-Prediction","Source Code")</f>
        <v/>
      </c>
    </row>
    <row r="20">
      <c r="A20" t="n">
        <v>19</v>
      </c>
      <c r="B20" t="inlineStr">
        <is>
          <t>Computer Vision | Image Classification | TPU Acceleration</t>
        </is>
      </c>
      <c r="C20" t="inlineStr">
        <is>
          <t>Beginner - Intermediate (Intro to TPUs)</t>
        </is>
      </c>
      <c r="D20" t="inlineStr">
        <is>
          <t>Multiclass Image Classification</t>
        </is>
      </c>
      <c r="E20" t="inlineStr">
        <is>
          <t>Build a deep learning model to classify images of flowers into one of many species. This competition is designed to help participants learn how to use Tensor Processing Units (TPUs) for efficient training of large image classification models.</t>
        </is>
      </c>
      <c r="F20" t="inlineStr">
        <is>
          <t>Image Data | Train - Validation - Test</t>
        </is>
      </c>
      <c r="G20" t="inlineStr">
        <is>
          <t>F-Score</t>
        </is>
      </c>
      <c r="H20" t="inlineStr">
        <is>
          <t>There are many notebooks</t>
        </is>
      </c>
      <c r="I20" t="inlineStr">
        <is>
          <t>There is an active discussion area</t>
        </is>
      </c>
      <c r="J20">
        <f>HYPERLINK("https://www.kaggle.com/code/sevvalclalcebeciolu/flower-classification/notebook?scriptVersionId=297349484","View Notebook")</f>
        <v/>
      </c>
      <c r="K20">
        <f>HYPERLINK("https://huggingface.co/spaces/sevvaliclal/FlowerClassifier","Live Demo")</f>
        <v/>
      </c>
      <c r="L20">
        <f>HYPERLINK("https://github.com/sevvaliclalcebecioglu/Flower-Classification","Source Code")</f>
        <v/>
      </c>
    </row>
    <row r="21">
      <c r="A21" t="n">
        <v>20</v>
      </c>
      <c r="B21" t="inlineStr">
        <is>
          <t>Machine Learning | Tabular Data Regression</t>
        </is>
      </c>
      <c r="C21" t="inlineStr">
        <is>
          <t>Beginner - Intermediate</t>
        </is>
      </c>
      <c r="D21" t="inlineStr">
        <is>
          <t>Regression</t>
        </is>
      </c>
      <c r="E21" t="inlineStr">
        <is>
          <t>Build regression models to predict the age of crabs using their physical attributes. This is a supervised learning problem focused on tabular feature engineering and model optimization.</t>
        </is>
      </c>
      <c r="F21" t="inlineStr">
        <is>
          <t>Tabular Data | Train - Test</t>
        </is>
      </c>
      <c r="G21" t="inlineStr">
        <is>
          <t>Mean-Absolute-Error</t>
        </is>
      </c>
      <c r="H21" t="inlineStr">
        <is>
          <t>There are many notebooks</t>
        </is>
      </c>
      <c r="I21" t="inlineStr">
        <is>
          <t>There is an active discussion area</t>
        </is>
      </c>
      <c r="J21">
        <f>HYPERLINK("https://www.kaggle.com/code/sevvalclalcebeciolu/regression-with-a-crab-age-dataset/notebook?scriptVersionId=297398599","View Notebook")</f>
        <v/>
      </c>
      <c r="K21">
        <f>HYPERLINK("https://huggingface.co/spaces/sevvaliclal/CrabAgePredictionApp","Live Demo")</f>
        <v/>
      </c>
      <c r="L21">
        <f>HYPERLINK("https://github.com/sevvaliclalcebecioglu/crab-age-regression","Source Code")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2026-02-13T22:21:23Z</dcterms:created>
  <dcterms:modified xmlns:dcterms="http://purl.org/dc/terms/" xmlns:xsi="http://www.w3.org/2001/XMLSchema-instance" xsi:type="dcterms:W3CDTF">2026-02-13T22:21:23Z</dcterms:modified>
</cp:coreProperties>
</file>