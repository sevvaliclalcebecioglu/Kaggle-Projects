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13tua\OneDrive\Belgeler\GitHub\Kaggle-Projects\excel\"/>
    </mc:Choice>
  </mc:AlternateContent>
  <xr:revisionPtr revIDLastSave="0" documentId="8_{6D619CDC-3179-44A0-A2E5-7E7A0DD73EF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81029"/>
</workbook>
</file>

<file path=xl/calcChain.xml><?xml version="1.0" encoding="utf-8"?>
<calcChain xmlns="http://schemas.openxmlformats.org/spreadsheetml/2006/main">
  <c r="L21" i="1" l="1"/>
  <c r="K21" i="1"/>
  <c r="J21" i="1"/>
  <c r="L20" i="1"/>
  <c r="K20" i="1"/>
  <c r="J20" i="1"/>
  <c r="L19" i="1"/>
  <c r="K19" i="1"/>
  <c r="J19" i="1"/>
  <c r="L18" i="1"/>
  <c r="K18" i="1"/>
  <c r="J18" i="1"/>
  <c r="L17" i="1"/>
  <c r="K17" i="1"/>
  <c r="J17" i="1"/>
  <c r="L16" i="1"/>
  <c r="K16" i="1"/>
  <c r="J16" i="1"/>
  <c r="L15" i="1"/>
  <c r="K15" i="1"/>
  <c r="J15" i="1"/>
  <c r="L14" i="1"/>
  <c r="K14" i="1"/>
  <c r="J14" i="1"/>
  <c r="L13" i="1"/>
  <c r="K13" i="1"/>
  <c r="J13" i="1"/>
  <c r="L12" i="1"/>
  <c r="K12" i="1"/>
  <c r="J12" i="1"/>
  <c r="L11" i="1"/>
  <c r="K11" i="1"/>
  <c r="J11" i="1"/>
  <c r="L10" i="1"/>
  <c r="K10" i="1"/>
  <c r="J10" i="1"/>
  <c r="L9" i="1"/>
  <c r="K9" i="1"/>
  <c r="J9" i="1"/>
  <c r="L8" i="1"/>
  <c r="K8" i="1"/>
  <c r="J8" i="1"/>
  <c r="L7" i="1"/>
  <c r="K7" i="1"/>
  <c r="J7" i="1"/>
  <c r="L6" i="1"/>
  <c r="K6" i="1"/>
  <c r="J6" i="1"/>
  <c r="L5" i="1"/>
  <c r="K5" i="1"/>
  <c r="J5" i="1"/>
  <c r="L4" i="1"/>
  <c r="K4" i="1"/>
  <c r="J4" i="1"/>
  <c r="L3" i="1"/>
  <c r="K3" i="1"/>
  <c r="J3" i="1"/>
  <c r="L2" i="1"/>
  <c r="K2" i="1"/>
  <c r="J2" i="1"/>
</calcChain>
</file>

<file path=xl/sharedStrings.xml><?xml version="1.0" encoding="utf-8"?>
<sst xmlns="http://schemas.openxmlformats.org/spreadsheetml/2006/main" count="172" uniqueCount="86">
  <si>
    <t>ID</t>
  </si>
  <si>
    <t>Subject</t>
  </si>
  <si>
    <t>Difficulty Level</t>
  </si>
  <si>
    <t>Problem Type</t>
  </si>
  <si>
    <t>Overview</t>
  </si>
  <si>
    <t>Dataset</t>
  </si>
  <si>
    <t>Evaluation Metric</t>
  </si>
  <si>
    <t>Source Code</t>
  </si>
  <si>
    <t>Discussion</t>
  </si>
  <si>
    <t>Kaggle Notebook</t>
  </si>
  <si>
    <t>Hugging Face Demo</t>
  </si>
  <si>
    <t>GitHub Repository</t>
  </si>
  <si>
    <t>Health | Diabetes prediction</t>
  </si>
  <si>
    <t>Playground | Beginner</t>
  </si>
  <si>
    <t>Binary Classification</t>
  </si>
  <si>
    <t>Predicting the likelihood of a patient being diagnosed with diabetes.</t>
  </si>
  <si>
    <t>Tabular | 3 files | Train / Test | CSV</t>
  </si>
  <si>
    <t>ROC-AUC</t>
  </si>
  <si>
    <t>There are many notebooks</t>
  </si>
  <si>
    <t>There is an active discussion area</t>
  </si>
  <si>
    <t>Finance / Debt Forecast</t>
  </si>
  <si>
    <t>Predict if a loan will be paid back using tabular data.</t>
  </si>
  <si>
    <t>Personality / Behavior | Introvert vs Extrovert</t>
  </si>
  <si>
    <t>Predict whether a person is introvert or extrovert from tabular personality/behavior data.</t>
  </si>
  <si>
    <t>Accuracy-Score</t>
  </si>
  <si>
    <t>Weather | Rainfall Prediction</t>
  </si>
  <si>
    <t>Predict rainfall for each day of the year.</t>
  </si>
  <si>
    <t>Roc-Auc-Score</t>
  </si>
  <si>
    <t>Traffic / Road Safety | Predicting Road Accident Risk</t>
  </si>
  <si>
    <t>Regression</t>
  </si>
  <si>
    <t>Predicting accident risk scores from tabular road and environment data.</t>
  </si>
  <si>
    <t>Mean-Squared-Error</t>
  </si>
  <si>
    <t>Health / Fitness | Predict Calorie Expenditure</t>
  </si>
  <si>
    <t>Predict the number of calories burned using physiological and demographic data.</t>
  </si>
  <si>
    <t>RMSLE</t>
  </si>
  <si>
    <t>Podcast Listening Time Prediction</t>
  </si>
  <si>
    <t>Predict the listening time of podcast episodes using tabular features like episode metadata and length.</t>
  </si>
  <si>
    <t>Generative AI | Text-to-SVG Image Generation</t>
  </si>
  <si>
    <t>Advanced | Experimental</t>
  </si>
  <si>
    <t>Text-to-Image</t>
  </si>
  <si>
    <t>Given a text prompt describing an image, the task is to generate valid SVG code that visually represents the description as faithfully as possible using LLM-based or rule-based models.</t>
  </si>
  <si>
    <t>Custom-Metric</t>
  </si>
  <si>
    <t>Retail | Product Price Prediction</t>
  </si>
  <si>
    <t>Predict the price of backpacks based on various product attributes using tabular data.</t>
  </si>
  <si>
    <t>Root-Mean-Squared-Error</t>
  </si>
  <si>
    <t>Automotive | Used Car Price Prediction</t>
  </si>
  <si>
    <t>Predict the price of used cars based on various vehicle attributes using synthetic tabular data.</t>
  </si>
  <si>
    <t>Computer Vision | 3D Reconstruction | Image Matching</t>
  </si>
  <si>
    <t>Advanced | Research-Level</t>
  </si>
  <si>
    <t>3D Pose Estimation | Structure from Motion (SfM)</t>
  </si>
  <si>
    <t>Reconstruct accurate 3D scenes by estimating camera poses from multiple 2D images captured across six challenging real-world domains such as phototourism, aerial imagery, nighttime scenes, and natural environments.</t>
  </si>
  <si>
    <t>Mean-Average-Accuracy</t>
  </si>
  <si>
    <t>AI Sustainability | Energy &amp; Emissions Estimation</t>
  </si>
  <si>
    <t>Intermediate - Advanced</t>
  </si>
  <si>
    <t>Retrieval-Augmented Generation (RAG) | QA | Information Extraction</t>
  </si>
  <si>
    <t>Build a RAG system that answers sustainability-related questions about AI workloads using academic literature, with evidence-backed and citation-faithful outputs.</t>
  </si>
  <si>
    <t>Custom-WattBot-Score</t>
  </si>
  <si>
    <t>Finance | Customer Churn Prediction</t>
  </si>
  <si>
    <t>Playground | Beginner - Intermediate</t>
  </si>
  <si>
    <t>Predict whether a bank customer will continue using their account or close it (customer churn prediction).</t>
  </si>
  <si>
    <t>Machine Learning | Regression | Tabular Data</t>
  </si>
  <si>
    <t>Advanced</t>
  </si>
  <si>
    <t>Build a machine learning model to predict the total trip duration of taxi rides in New York City. The dataset includes pickup datetime, pickup &amp; dropoff coordinates, passenger count, and other trip-related features. The evaluation metric is Root Mean Squared Logarithmic Error (RMSLE), which penalizes underestimation more than overestimation and is robust to large target values.</t>
  </si>
  <si>
    <t>Computer Vision | Image Classification | Probability</t>
  </si>
  <si>
    <t>Beginner</t>
  </si>
  <si>
    <t>Binary Image Classification</t>
  </si>
  <si>
    <t>Predict the outcome of a coin toss (heads or tails) from cropped photographs.</t>
  </si>
  <si>
    <t>Computer Vision | Image Classification</t>
  </si>
  <si>
    <t>Build a model that can distinguish between images of cats and dogs by predicting whether a given image contains a cat or a dog. This task emphasizes visual feature extraction and generalization to unseen images.</t>
  </si>
  <si>
    <t>Accuracy or similar classification metric on the hidden test set (standard for image classification)</t>
  </si>
  <si>
    <t>no</t>
  </si>
  <si>
    <t>Computer Vision | Image Classification | Multiclass</t>
  </si>
  <si>
    <t>Multiclass Image Classification</t>
  </si>
  <si>
    <t>Build a model to classify street food images into distinct food categories using a curated dataset of everyday dish photographs.</t>
  </si>
  <si>
    <t>Health | Animals</t>
  </si>
  <si>
    <t>Multiclass Classification</t>
  </si>
  <si>
    <t>Predict health outcomes or survival labels using a synthetic dataset generated from a deep learning model trained on a portion of the Horse Survival dataset. The synthetic nature allows exploration of differences between the original and generated distributions.</t>
  </si>
  <si>
    <t>Micro-averaged F1-Score</t>
  </si>
  <si>
    <t>Computer Vision | Image Classification | TPU Acceleration</t>
  </si>
  <si>
    <t>Beginner - Intermediate (Intro to TPUs)</t>
  </si>
  <si>
    <t>Build a deep learning model to classify images of flowers into one of many species. This competition is designed to help participants learn how to use Tensor Processing Units (TPUs) for efficient training of large image classification models.</t>
  </si>
  <si>
    <t>F-Score</t>
  </si>
  <si>
    <t>Machine Learning | Tabular Data Regression</t>
  </si>
  <si>
    <t>Beginner - Intermediate</t>
  </si>
  <si>
    <t>Build regression models to predict the age of crabs using their physical attributes. This is a supervised learning problem focused on tabular feature engineering and model optimization.</t>
  </si>
  <si>
    <t>Mean-Absolute-Error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</si>
</sst>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i/>
      <sz val="11"/>
      <color rgb="FF002060"/>
      <name val="Calibri"/>
      <family val="2"/>
      <charset val="16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top" wrapText="1"/>
    </xf>
  </cellXfs>
  <cellStyles count="1">
    <cellStyle name="Normal" xfId="0" builtinId="0"/>
  </cellStyles>
  <dxfs count="14">
    <dxf>
      <font>
        <b/>
        <i/>
        <strike val="0"/>
        <condense val="0"/>
        <extend val="0"/>
        <outline val="0"/>
        <shadow val="0"/>
        <u val="none"/>
        <vertAlign val="baseline"/>
        <sz val="11"/>
        <color rgb="FF002060"/>
        <name val="Calibri"/>
        <family val="2"/>
        <charset val="162"/>
        <scheme val="none"/>
      </font>
      <alignment horizontal="center" vertical="top" textRotation="0" wrapText="1" indent="0" justifyLastLine="0" shrinkToFit="0" readingOrder="0"/>
      <border diagonalUp="0" diagonalDown="0" outline="0">
        <left style="thin">
          <color auto="1"/>
        </left>
        <right style="thin">
          <color auto="1"/>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8E37E8-8DE1-4E27-974F-79FA208BF59D}" name="Tablo1" displayName="Tablo1" ref="A1:L21" totalsRowShown="0" headerRowDxfId="0" dataDxfId="1">
  <autoFilter ref="A1:L21" xr:uid="{808E37E8-8DE1-4E27-974F-79FA208BF59D}"/>
  <tableColumns count="12">
    <tableColumn id="1" xr3:uid="{26AD5399-B02A-4B07-A5A8-3324C26A1A61}" name="ID" dataDxfId="13"/>
    <tableColumn id="2" xr3:uid="{13E7C43B-2285-4971-AEFB-33B1402385EF}" name="Subject" dataDxfId="12"/>
    <tableColumn id="3" xr3:uid="{2611D632-1EE8-4384-AC03-09358C6D7A54}" name="Difficulty Level" dataDxfId="11"/>
    <tableColumn id="4" xr3:uid="{A3965B28-555D-427D-BC02-E355DCB3C171}" name="Problem Type" dataDxfId="10"/>
    <tableColumn id="5" xr3:uid="{45706251-BA7A-4F64-91A6-2B533D74485F}" name="Overview" dataDxfId="9"/>
    <tableColumn id="6" xr3:uid="{F3D17F76-B391-469E-955A-A352CAE58790}" name="Dataset" dataDxfId="8"/>
    <tableColumn id="7" xr3:uid="{2A7C4DAD-E8DC-4955-8206-5294162BD130}" name="Evaluation Metric" dataDxfId="7"/>
    <tableColumn id="8" xr3:uid="{13CF7457-2BA7-4A59-9095-CF3478F54FB5}" name="Source Code" dataDxfId="6"/>
    <tableColumn id="9" xr3:uid="{7FAA2B55-EDD7-44B5-9363-D10B8A28B328}" name="Discussion" dataDxfId="5"/>
    <tableColumn id="10" xr3:uid="{364733C1-B8F7-4AC1-B0FE-8AF11C9146E7}" name="Kaggle Notebook" dataDxfId="4"/>
    <tableColumn id="11" xr3:uid="{843F010B-8D05-4766-BD9E-794C564383D5}" name="Hugging Face Demo" dataDxfId="3"/>
    <tableColumn id="12" xr3:uid="{770BAC37-63A9-495E-9E64-AB611A8F25EA}" name="GitHub Repository" dataDxfId="2"/>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tabSelected="1" zoomScale="55" zoomScaleNormal="55" workbookViewId="0">
      <selection activeCell="C5" sqref="C5"/>
    </sheetView>
  </sheetViews>
  <sheetFormatPr defaultRowHeight="15" x14ac:dyDescent="0.25"/>
  <cols>
    <col min="2" max="2" width="53.5703125" customWidth="1"/>
    <col min="3" max="3" width="38.85546875" customWidth="1"/>
    <col min="4" max="4" width="64.7109375" customWidth="1"/>
    <col min="5" max="5" width="78.140625" customWidth="1"/>
    <col min="6" max="6" width="28.42578125" customWidth="1"/>
    <col min="7" max="7" width="25" customWidth="1"/>
    <col min="8" max="8" width="23.5703125" customWidth="1"/>
    <col min="9" max="9" width="34.140625" customWidth="1"/>
    <col min="10" max="10" width="18.28515625" customWidth="1"/>
    <col min="11" max="11" width="20.42578125" customWidth="1"/>
    <col min="12" max="12" width="19.42578125" customWidth="1"/>
  </cols>
  <sheetData>
    <row r="1" spans="1:12" x14ac:dyDescent="0.25">
      <c r="A1" s="2" t="s">
        <v>0</v>
      </c>
      <c r="B1" s="2" t="s">
        <v>1</v>
      </c>
      <c r="C1" s="2" t="s">
        <v>2</v>
      </c>
      <c r="D1" s="2" t="s">
        <v>3</v>
      </c>
      <c r="E1" s="2" t="s">
        <v>4</v>
      </c>
      <c r="F1" s="2" t="s">
        <v>5</v>
      </c>
      <c r="G1" s="2" t="s">
        <v>6</v>
      </c>
      <c r="H1" s="2" t="s">
        <v>7</v>
      </c>
      <c r="I1" s="2" t="s">
        <v>8</v>
      </c>
      <c r="J1" s="2" t="s">
        <v>9</v>
      </c>
      <c r="K1" s="2" t="s">
        <v>10</v>
      </c>
      <c r="L1" s="2" t="s">
        <v>11</v>
      </c>
    </row>
    <row r="2" spans="1:12" ht="30" x14ac:dyDescent="0.25">
      <c r="A2" s="1">
        <v>1</v>
      </c>
      <c r="B2" s="1" t="s">
        <v>12</v>
      </c>
      <c r="C2" s="1" t="s">
        <v>13</v>
      </c>
      <c r="D2" s="1" t="s">
        <v>14</v>
      </c>
      <c r="E2" s="1" t="s">
        <v>15</v>
      </c>
      <c r="F2" s="1" t="s">
        <v>16</v>
      </c>
      <c r="G2" s="1" t="s">
        <v>17</v>
      </c>
      <c r="H2" s="1" t="s">
        <v>18</v>
      </c>
      <c r="I2" s="1" t="s">
        <v>19</v>
      </c>
      <c r="J2" s="1" t="str">
        <f>HYPERLINK("https://www.kaggle.com/code/sevvalclalcebeciolu/diabetes-prediction-binary-classification/notebook","View Notebook")</f>
        <v>View Notebook</v>
      </c>
      <c r="K2" s="1" t="str">
        <f>HYPERLINK("https://huggingface.co/spaces/sevvaliclal/DiabetesPredictionApp","Live Demo")</f>
        <v>Live Demo</v>
      </c>
      <c r="L2" s="1" t="str">
        <f>HYPERLINK("https://github.com/sevvaliclalcebecioglu/DiabetesPrediction-BinaryClassification","Source Code")</f>
        <v>Source Code</v>
      </c>
    </row>
    <row r="3" spans="1:12" ht="30" x14ac:dyDescent="0.25">
      <c r="A3" s="1">
        <v>2</v>
      </c>
      <c r="B3" s="1" t="s">
        <v>20</v>
      </c>
      <c r="C3" s="1" t="s">
        <v>13</v>
      </c>
      <c r="D3" s="1" t="s">
        <v>14</v>
      </c>
      <c r="E3" s="1" t="s">
        <v>21</v>
      </c>
      <c r="F3" s="1" t="s">
        <v>16</v>
      </c>
      <c r="G3" s="1" t="s">
        <v>17</v>
      </c>
      <c r="H3" s="1" t="s">
        <v>18</v>
      </c>
      <c r="I3" s="1" t="s">
        <v>19</v>
      </c>
      <c r="J3" s="1" t="str">
        <f>HYPERLINK("https://www.kaggle.com/code/sevvalclalcebeciolu/predicting-loan-payback-binary-classification/notebook","View Notebook")</f>
        <v>View Notebook</v>
      </c>
      <c r="K3" s="1" t="str">
        <f>HYPERLINK("https://huggingface.co/spaces/sevvaliclal/PredictingLoanPayback","Live Demo")</f>
        <v>Live Demo</v>
      </c>
      <c r="L3" s="1" t="str">
        <f>HYPERLINK("https://github.com/sevvaliclalcebecioglu/Loan-Repayment-Prediction","Source Code")</f>
        <v>Source Code</v>
      </c>
    </row>
    <row r="4" spans="1:12" ht="30" x14ac:dyDescent="0.25">
      <c r="A4" s="1">
        <v>3</v>
      </c>
      <c r="B4" s="1" t="s">
        <v>22</v>
      </c>
      <c r="C4" s="1" t="s">
        <v>13</v>
      </c>
      <c r="D4" s="1" t="s">
        <v>14</v>
      </c>
      <c r="E4" s="1" t="s">
        <v>23</v>
      </c>
      <c r="F4" s="1" t="s">
        <v>16</v>
      </c>
      <c r="G4" s="1" t="s">
        <v>24</v>
      </c>
      <c r="H4" s="1" t="s">
        <v>18</v>
      </c>
      <c r="I4" s="1" t="s">
        <v>19</v>
      </c>
      <c r="J4" s="1" t="str">
        <f>HYPERLINK("https://www.kaggle.com/code/sevvalclalcebeciolu/predict-the-introverts-from-the-extroverts?scriptVersionId=297026117","View Notebook")</f>
        <v>View Notebook</v>
      </c>
      <c r="K4" s="1" t="str">
        <f>HYPERLINK("https://huggingface.co/spaces/sevvaliclal/Predicttheintrovertsfromtheextroverts","Live Demo")</f>
        <v>Live Demo</v>
      </c>
      <c r="L4" s="1" t="str">
        <f>HYPERLINK("https://github.com/sevvaliclalcebecioglu/Predict-the-Introverts-from-the-Extroverts","Source Code")</f>
        <v>Source Code</v>
      </c>
    </row>
    <row r="5" spans="1:12" ht="30" x14ac:dyDescent="0.25">
      <c r="A5" s="1">
        <v>4</v>
      </c>
      <c r="B5" s="1" t="s">
        <v>25</v>
      </c>
      <c r="C5" s="1" t="s">
        <v>13</v>
      </c>
      <c r="D5" s="1" t="s">
        <v>14</v>
      </c>
      <c r="E5" s="1" t="s">
        <v>26</v>
      </c>
      <c r="F5" s="1" t="s">
        <v>16</v>
      </c>
      <c r="G5" s="1" t="s">
        <v>27</v>
      </c>
      <c r="H5" s="1" t="s">
        <v>18</v>
      </c>
      <c r="I5" s="1" t="s">
        <v>19</v>
      </c>
      <c r="J5" s="1" t="str">
        <f>HYPERLINK("https://www.kaggle.com/code/sevvalclalcebeciolu/binary-prediction-with-a-rainfall-dataset?scriptVersionId=297023069","View Notebook")</f>
        <v>View Notebook</v>
      </c>
      <c r="K5" s="1" t="str">
        <f>HYPERLINK("https://huggingface.co/spaces/sevvaliclal/BinaryPredictionwithaRainfallDataset","Live Demo")</f>
        <v>Live Demo</v>
      </c>
      <c r="L5" s="1" t="str">
        <f>HYPERLINK("https://github.com/sevvaliclalcebecioglu/Binary-Prediction-with-a-Rainfall-Dataset","Source Code")</f>
        <v>Source Code</v>
      </c>
    </row>
    <row r="6" spans="1:12" ht="30" x14ac:dyDescent="0.25">
      <c r="A6" s="1">
        <v>5</v>
      </c>
      <c r="B6" s="1" t="s">
        <v>28</v>
      </c>
      <c r="C6" s="1" t="s">
        <v>13</v>
      </c>
      <c r="D6" s="1" t="s">
        <v>29</v>
      </c>
      <c r="E6" s="1" t="s">
        <v>30</v>
      </c>
      <c r="F6" s="1" t="s">
        <v>16</v>
      </c>
      <c r="G6" s="1" t="s">
        <v>31</v>
      </c>
      <c r="H6" s="1" t="s">
        <v>18</v>
      </c>
      <c r="I6" s="1" t="s">
        <v>19</v>
      </c>
      <c r="J6" s="1" t="str">
        <f>HYPERLINK("https://www.kaggle.com/code/sevvalclalcebeciolu/accident-risk-prediction/notebook?scriptVersionId=297166189","View Notebook")</f>
        <v>View Notebook</v>
      </c>
      <c r="K6" s="1" t="str">
        <f>HYPERLINK("https://huggingface.co/spaces/sevvaliclal/AccidentRiskPredictionApp","Live Demo")</f>
        <v>Live Demo</v>
      </c>
      <c r="L6" s="1" t="str">
        <f>HYPERLINK("https://github.com/sevvaliclalcebecioglu/Accident-Risk-Prediction","Source Code")</f>
        <v>Source Code</v>
      </c>
    </row>
    <row r="7" spans="1:12" ht="30" x14ac:dyDescent="0.25">
      <c r="A7" s="1">
        <v>6</v>
      </c>
      <c r="B7" s="1" t="s">
        <v>32</v>
      </c>
      <c r="C7" s="1" t="s">
        <v>13</v>
      </c>
      <c r="D7" s="1" t="s">
        <v>29</v>
      </c>
      <c r="E7" s="1" t="s">
        <v>33</v>
      </c>
      <c r="F7" s="1" t="s">
        <v>16</v>
      </c>
      <c r="G7" s="1" t="s">
        <v>34</v>
      </c>
      <c r="H7" s="1" t="s">
        <v>18</v>
      </c>
      <c r="I7" s="1" t="s">
        <v>19</v>
      </c>
      <c r="J7" s="1" t="str">
        <f>HYPERLINK("https://www.kaggle.com/code/sevvalclalcebeciolu/predict-calorie-expenditure/notebook?scriptVersionId=297194241","View Notebook")</f>
        <v>View Notebook</v>
      </c>
      <c r="K7" s="1" t="str">
        <f>HYPERLINK("https://huggingface.co/spaces/sevvaliclal/CalorieBurnPredictor","Live Demo")</f>
        <v>Live Demo</v>
      </c>
      <c r="L7" s="1" t="str">
        <f>HYPERLINK("https://github.com/sevvaliclalcebecioglu/Predict-Calorie-Expenditure","Source Code")</f>
        <v>Source Code</v>
      </c>
    </row>
    <row r="8" spans="1:12" ht="30" x14ac:dyDescent="0.25">
      <c r="A8" s="1">
        <v>7</v>
      </c>
      <c r="B8" s="1" t="s">
        <v>35</v>
      </c>
      <c r="C8" s="1" t="s">
        <v>13</v>
      </c>
      <c r="D8" s="1" t="s">
        <v>29</v>
      </c>
      <c r="E8" s="1" t="s">
        <v>36</v>
      </c>
      <c r="F8" s="1" t="s">
        <v>16</v>
      </c>
      <c r="G8" s="1" t="s">
        <v>31</v>
      </c>
      <c r="H8" s="1" t="s">
        <v>18</v>
      </c>
      <c r="I8" s="1" t="s">
        <v>19</v>
      </c>
      <c r="J8" s="1" t="str">
        <f>HYPERLINK("https://www.kaggle.com/code/sevvalclalcebeciolu/podcast-listening-time-prediction/notebook?scriptVersionId=297204038","View Notebook")</f>
        <v>View Notebook</v>
      </c>
      <c r="K8" s="1" t="str">
        <f>HYPERLINK("https://huggingface.co/spaces/sevvaliclal/PodcastListeningTimePredictor","Live Demo")</f>
        <v>Live Demo</v>
      </c>
      <c r="L8" s="1" t="str">
        <f>HYPERLINK("https://github.com/sevvaliclalcebecioglu/Podcast-Listening-Time-Prediction","Source Code")</f>
        <v>Source Code</v>
      </c>
    </row>
    <row r="9" spans="1:12" ht="45" x14ac:dyDescent="0.25">
      <c r="A9" s="1">
        <v>8</v>
      </c>
      <c r="B9" s="1" t="s">
        <v>37</v>
      </c>
      <c r="C9" s="1" t="s">
        <v>38</v>
      </c>
      <c r="D9" s="1" t="s">
        <v>39</v>
      </c>
      <c r="E9" s="1" t="s">
        <v>40</v>
      </c>
      <c r="F9" s="1" t="s">
        <v>16</v>
      </c>
      <c r="G9" s="1" t="s">
        <v>41</v>
      </c>
      <c r="H9" s="1" t="s">
        <v>18</v>
      </c>
      <c r="I9" s="1" t="s">
        <v>19</v>
      </c>
      <c r="J9" s="1" t="str">
        <f>HYPERLINK("https://www.kaggle.com/code/sevvalclalcebeciolu/drawing-with-llms-svg-image-generation/notebook?scriptVersionId=297487453","View Notebook")</f>
        <v>View Notebook</v>
      </c>
      <c r="K9" s="1" t="str">
        <f>HYPERLINK("https://huggingface.co/spaces/sevvaliclal/AIPoweredSVGGeneration","Live Demo")</f>
        <v>Live Demo</v>
      </c>
      <c r="L9" s="1" t="str">
        <f>HYPERLINK("https://github.com/sevvaliclalcebecioglu/LLM-to-SVG","Source Code")</f>
        <v>Source Code</v>
      </c>
    </row>
    <row r="10" spans="1:12" ht="30" x14ac:dyDescent="0.25">
      <c r="A10" s="1">
        <v>9</v>
      </c>
      <c r="B10" s="1" t="s">
        <v>42</v>
      </c>
      <c r="C10" s="1" t="s">
        <v>13</v>
      </c>
      <c r="D10" s="1" t="s">
        <v>29</v>
      </c>
      <c r="E10" s="1" t="s">
        <v>43</v>
      </c>
      <c r="F10" s="1" t="s">
        <v>16</v>
      </c>
      <c r="G10" s="1" t="s">
        <v>44</v>
      </c>
      <c r="H10" s="1" t="s">
        <v>18</v>
      </c>
      <c r="I10" s="1" t="s">
        <v>19</v>
      </c>
      <c r="J10" s="1" t="str">
        <f>HYPERLINK("https://www.kaggle.com/code/sevvalclalcebeciolu/backpack-price-prediction/notebook?scriptVersionId=297210599","View Notebook")</f>
        <v>View Notebook</v>
      </c>
      <c r="K10" s="1" t="str">
        <f>HYPERLINK("https://huggingface.co/spaces/sevvaliclal/Backpack-Price-Predictor","Live Demo")</f>
        <v>Live Demo</v>
      </c>
      <c r="L10" s="1" t="str">
        <f>HYPERLINK("https://github.com/sevvaliclalcebecioglu/Backpack-Price-Prediction-Kaggle-S5E2","Source Code")</f>
        <v>Source Code</v>
      </c>
    </row>
    <row r="11" spans="1:12" ht="30" x14ac:dyDescent="0.25">
      <c r="A11" s="1">
        <v>10</v>
      </c>
      <c r="B11" s="1" t="s">
        <v>45</v>
      </c>
      <c r="C11" s="1" t="s">
        <v>13</v>
      </c>
      <c r="D11" s="1" t="s">
        <v>29</v>
      </c>
      <c r="E11" s="1" t="s">
        <v>46</v>
      </c>
      <c r="F11" s="1" t="s">
        <v>16</v>
      </c>
      <c r="G11" s="1" t="s">
        <v>44</v>
      </c>
      <c r="H11" s="1" t="s">
        <v>18</v>
      </c>
      <c r="I11" s="1" t="s">
        <v>19</v>
      </c>
      <c r="J11" s="1" t="str">
        <f>HYPERLINK("https://www.kaggle.com/code/sevvalclalcebeciolu/used-car-price-prediction?scriptVersionId=297214464","View Notebook")</f>
        <v>View Notebook</v>
      </c>
      <c r="K11" s="1" t="str">
        <f>HYPERLINK("https://huggingface.co/spaces/sevvaliclal/UsedCarPricePredictor","Live Demo")</f>
        <v>Live Demo</v>
      </c>
      <c r="L11" s="1" t="str">
        <f>HYPERLINK("https://github.com/sevvaliclalcebecioglu/Used-Car-Price-Prediction","Source Code")</f>
        <v>Source Code</v>
      </c>
    </row>
    <row r="12" spans="1:12" ht="45" x14ac:dyDescent="0.25">
      <c r="A12" s="1">
        <v>11</v>
      </c>
      <c r="B12" s="1" t="s">
        <v>47</v>
      </c>
      <c r="C12" s="1" t="s">
        <v>48</v>
      </c>
      <c r="D12" s="1" t="s">
        <v>49</v>
      </c>
      <c r="E12" s="1" t="s">
        <v>50</v>
      </c>
      <c r="F12" s="1" t="s">
        <v>16</v>
      </c>
      <c r="G12" s="1" t="s">
        <v>51</v>
      </c>
      <c r="H12" s="1" t="s">
        <v>18</v>
      </c>
      <c r="I12" s="1" t="s">
        <v>19</v>
      </c>
      <c r="J12" s="1" t="str">
        <f>HYPERLINK("https://www.kaggle.com/code/sevvalclalcebeciolu/image-matching-challenge","View Notebook")</f>
        <v>View Notebook</v>
      </c>
      <c r="K12" s="1" t="str">
        <f>HYPERLINK("https://huggingface.co/spaces/sevvaliclal/ImageMatchingChallenge","Live Demo")</f>
        <v>Live Demo</v>
      </c>
      <c r="L12" s="1" t="str">
        <f>HYPERLINK("https://github.com/sevvaliclalcebecioglu/Image-Matching-Challenge","Source Code")</f>
        <v>Source Code</v>
      </c>
    </row>
    <row r="13" spans="1:12" ht="30" x14ac:dyDescent="0.25">
      <c r="A13" s="1">
        <v>12</v>
      </c>
      <c r="B13" s="1" t="s">
        <v>52</v>
      </c>
      <c r="C13" s="1" t="s">
        <v>53</v>
      </c>
      <c r="D13" s="1" t="s">
        <v>54</v>
      </c>
      <c r="E13" s="1" t="s">
        <v>55</v>
      </c>
      <c r="F13" s="1" t="s">
        <v>16</v>
      </c>
      <c r="G13" s="1" t="s">
        <v>56</v>
      </c>
      <c r="H13" s="1" t="s">
        <v>18</v>
      </c>
      <c r="I13" s="1" t="s">
        <v>19</v>
      </c>
      <c r="J13" s="1" t="str">
        <f>HYPERLINK("https://www.kaggle.com/code/sevvalclalcebeciolu/wattbot-rag-system/notebook?scriptVersionId=297574920","View Notebook")</f>
        <v>View Notebook</v>
      </c>
      <c r="K13" s="1" t="str">
        <f>HYPERLINK("https://huggingface.co/spaces/sevvaliclal/WattBotRAG","Live Demo")</f>
        <v>Live Demo</v>
      </c>
      <c r="L13" s="1" t="str">
        <f>HYPERLINK("https://github.com/sevvaliclalcebecioglu/WattBot-RAG-System","Source Code")</f>
        <v>Source Code</v>
      </c>
    </row>
    <row r="14" spans="1:12" ht="30" x14ac:dyDescent="0.25">
      <c r="A14" s="1">
        <v>13</v>
      </c>
      <c r="B14" s="1" t="s">
        <v>57</v>
      </c>
      <c r="C14" s="1" t="s">
        <v>58</v>
      </c>
      <c r="D14" s="1" t="s">
        <v>14</v>
      </c>
      <c r="E14" s="1" t="s">
        <v>59</v>
      </c>
      <c r="F14" s="1" t="s">
        <v>16</v>
      </c>
      <c r="G14" s="1" t="s">
        <v>17</v>
      </c>
      <c r="H14" s="1" t="s">
        <v>18</v>
      </c>
      <c r="I14" s="1" t="s">
        <v>19</v>
      </c>
      <c r="J14" s="1" t="str">
        <f>HYPERLINK("https://www.kaggle.com/code/sevvalclalcebeciolu/binary-classification-with-a-bank-churn-dataset?scriptVersionId=297032539","View Notebook")</f>
        <v>View Notebook</v>
      </c>
      <c r="K14" s="1" t="str">
        <f>HYPERLINK("https://huggingface.co/spaces/sevvaliclal/BinaryClassificationwithaBankChurnDataset","Live Demo")</f>
        <v>Live Demo</v>
      </c>
      <c r="L14" s="1" t="str">
        <f>HYPERLINK("https://github.com/sevvaliclalcebecioglu/BinaryClassificationwithaBankChurnDataset","Source Code")</f>
        <v>Source Code</v>
      </c>
    </row>
    <row r="15" spans="1:12" ht="75" x14ac:dyDescent="0.25">
      <c r="A15" s="1">
        <v>14</v>
      </c>
      <c r="B15" s="1" t="s">
        <v>60</v>
      </c>
      <c r="C15" s="1" t="s">
        <v>61</v>
      </c>
      <c r="D15" s="1" t="s">
        <v>29</v>
      </c>
      <c r="E15" s="1" t="s">
        <v>62</v>
      </c>
      <c r="F15" s="1" t="s">
        <v>16</v>
      </c>
      <c r="G15" s="1" t="s">
        <v>34</v>
      </c>
      <c r="H15" s="1" t="s">
        <v>18</v>
      </c>
      <c r="I15" s="1" t="s">
        <v>19</v>
      </c>
      <c r="J15" s="1" t="str">
        <f>HYPERLINK("https://www.kaggle.com/code/sevvalclalcebeciolu/new-york-city-taxi-trip-duration/notebook?scriptVersionId=297407072","View Notebook")</f>
        <v>View Notebook</v>
      </c>
      <c r="K15" s="1" t="str">
        <f>HYPERLINK("https://huggingface.co/spaces/sevvaliclal/NYCTaxiTripDurationPredictionApp","Live Demo")</f>
        <v>Live Demo</v>
      </c>
      <c r="L15" s="1" t="str">
        <f>HYPERLINK("https://github.com/sevvaliclalcebecioglu/nyc-taxi-trip-duration-regression","Source Code")</f>
        <v>Source Code</v>
      </c>
    </row>
    <row r="16" spans="1:12" ht="30" x14ac:dyDescent="0.25">
      <c r="A16" s="1">
        <v>15</v>
      </c>
      <c r="B16" s="1" t="s">
        <v>63</v>
      </c>
      <c r="C16" s="1" t="s">
        <v>64</v>
      </c>
      <c r="D16" s="1" t="s">
        <v>65</v>
      </c>
      <c r="E16" s="1" t="s">
        <v>66</v>
      </c>
      <c r="F16" s="1" t="s">
        <v>16</v>
      </c>
      <c r="G16" s="1" t="s">
        <v>17</v>
      </c>
      <c r="H16" s="1" t="s">
        <v>18</v>
      </c>
      <c r="I16" s="1" t="s">
        <v>19</v>
      </c>
      <c r="J16" s="1" t="str">
        <f>HYPERLINK("https://www.kaggle.com/code/sevvalclalcebeciolu/coin-toss-image-classification-with-deep-learning/notebook?scriptVersionId=297331711","View Notebook")</f>
        <v>View Notebook</v>
      </c>
      <c r="K16" s="1" t="str">
        <f>HYPERLINK("https://huggingface.co/spaces/sevvaliclal/HeadsorTailsPredictor","Live Demo")</f>
        <v>Live Demo</v>
      </c>
      <c r="L16" s="1" t="str">
        <f>HYPERLINK("https://github.com/sevvaliclalcebecioglu/Heads-or-Tails","Source Code")</f>
        <v>Source Code</v>
      </c>
    </row>
    <row r="17" spans="1:12" ht="75" x14ac:dyDescent="0.25">
      <c r="A17" s="1">
        <v>16</v>
      </c>
      <c r="B17" s="1" t="s">
        <v>67</v>
      </c>
      <c r="C17" s="1" t="s">
        <v>64</v>
      </c>
      <c r="D17" s="1" t="s">
        <v>65</v>
      </c>
      <c r="E17" s="1" t="s">
        <v>68</v>
      </c>
      <c r="F17" s="1" t="s">
        <v>16</v>
      </c>
      <c r="G17" s="1" t="s">
        <v>69</v>
      </c>
      <c r="H17" s="1" t="s">
        <v>18</v>
      </c>
      <c r="I17" s="1" t="s">
        <v>70</v>
      </c>
      <c r="J17" s="1" t="str">
        <f>HYPERLINK("https://www.kaggle.com/code/sevvalclalcebeciolu/cat-vs-dog-image-classification/notebook?scriptVersionId=297343075","View Notebook")</f>
        <v>View Notebook</v>
      </c>
      <c r="K17" s="1" t="str">
        <f>HYPERLINK("https://huggingface.co/spaces/sevvaliclal/CatvsDogClassifier","Live Demo")</f>
        <v>Live Demo</v>
      </c>
      <c r="L17" s="1" t="str">
        <f>HYPERLINK("https://github.com/sevvaliclalcebecioglu/Cat-vs-Dog-Image-Classifier","Source Code")</f>
        <v>Source Code</v>
      </c>
    </row>
    <row r="18" spans="1:12" ht="30" x14ac:dyDescent="0.25">
      <c r="A18" s="1">
        <v>17</v>
      </c>
      <c r="B18" s="1" t="s">
        <v>71</v>
      </c>
      <c r="C18" s="1" t="s">
        <v>64</v>
      </c>
      <c r="D18" s="1" t="s">
        <v>72</v>
      </c>
      <c r="E18" s="1" t="s">
        <v>73</v>
      </c>
      <c r="F18" s="1" t="s">
        <v>16</v>
      </c>
      <c r="G18" s="1" t="s">
        <v>24</v>
      </c>
      <c r="H18" s="1" t="s">
        <v>18</v>
      </c>
      <c r="I18" s="1" t="s">
        <v>70</v>
      </c>
      <c r="J18" s="1" t="str">
        <f>HYPERLINK("https://www.kaggle.com/code/sevvalclalcebeciolu/street-food-image-classification-with-tl/notebook?scriptVersionId=297345220","View Notebook")</f>
        <v>View Notebook</v>
      </c>
      <c r="K18" s="1" t="str">
        <f>HYPERLINK("https://huggingface.co/spaces/sevvaliclal/StreetFoodClassifier","Live Demo")</f>
        <v>Live Demo</v>
      </c>
      <c r="L18" s="1" t="str">
        <f>HYPERLINK("https://github.com/sevvaliclalcebecioglu/street-food-image-classification","Source Code")</f>
        <v>Source Code</v>
      </c>
    </row>
    <row r="19" spans="1:12" ht="60" x14ac:dyDescent="0.25">
      <c r="A19" s="1">
        <v>18</v>
      </c>
      <c r="B19" s="1" t="s">
        <v>74</v>
      </c>
      <c r="C19" s="1" t="s">
        <v>64</v>
      </c>
      <c r="D19" s="1" t="s">
        <v>75</v>
      </c>
      <c r="E19" s="1" t="s">
        <v>76</v>
      </c>
      <c r="F19" s="1" t="s">
        <v>16</v>
      </c>
      <c r="G19" s="1" t="s">
        <v>77</v>
      </c>
      <c r="H19" s="1" t="s">
        <v>18</v>
      </c>
      <c r="I19" s="1" t="s">
        <v>19</v>
      </c>
      <c r="J19" s="1" t="str">
        <f>HYPERLINK("https://www.kaggle.com/code/sevvalclalcebeciolu/horse-health-outcome-prediction/notebook?scriptVersionId=297153010","View Notebook")</f>
        <v>View Notebook</v>
      </c>
      <c r="K19" s="1" t="str">
        <f>HYPERLINK("https://huggingface.co/spaces/sevvaliclal/HorseHealthOutcomePredictionApp","Live Demo")</f>
        <v>Live Demo</v>
      </c>
      <c r="L19" s="1" t="str">
        <f>HYPERLINK("https://github.com/sevvaliclalcebecioglu/Horse-Health-Outcome-Prediction","Source Code")</f>
        <v>Source Code</v>
      </c>
    </row>
    <row r="20" spans="1:12" ht="45" x14ac:dyDescent="0.25">
      <c r="A20" s="1">
        <v>19</v>
      </c>
      <c r="B20" s="1" t="s">
        <v>78</v>
      </c>
      <c r="C20" s="1" t="s">
        <v>79</v>
      </c>
      <c r="D20" s="1" t="s">
        <v>72</v>
      </c>
      <c r="E20" s="1" t="s">
        <v>80</v>
      </c>
      <c r="F20" s="1" t="s">
        <v>16</v>
      </c>
      <c r="G20" s="1" t="s">
        <v>81</v>
      </c>
      <c r="H20" s="1" t="s">
        <v>18</v>
      </c>
      <c r="I20" s="1" t="s">
        <v>19</v>
      </c>
      <c r="J20" s="1" t="str">
        <f>HYPERLINK("https://www.kaggle.com/code/sevvalclalcebeciolu/flower-classification/notebook?scriptVersionId=297349484","View Notebook")</f>
        <v>View Notebook</v>
      </c>
      <c r="K20" s="1" t="str">
        <f>HYPERLINK("https://huggingface.co/spaces/sevvaliclal/FlowerClassifier","Live Demo")</f>
        <v>Live Demo</v>
      </c>
      <c r="L20" s="1" t="str">
        <f>HYPERLINK("https://github.com/sevvaliclalcebecioglu/Flower-Classification","Source Code")</f>
        <v>Source Code</v>
      </c>
    </row>
    <row r="21" spans="1:12" ht="45" x14ac:dyDescent="0.25">
      <c r="A21" s="1">
        <v>20</v>
      </c>
      <c r="B21" s="1" t="s">
        <v>82</v>
      </c>
      <c r="C21" s="1" t="s">
        <v>83</v>
      </c>
      <c r="D21" s="1" t="s">
        <v>29</v>
      </c>
      <c r="E21" s="1" t="s">
        <v>84</v>
      </c>
      <c r="F21" s="1" t="s">
        <v>16</v>
      </c>
      <c r="G21" s="1" t="s">
        <v>85</v>
      </c>
      <c r="H21" s="1" t="s">
        <v>18</v>
      </c>
      <c r="I21" s="1" t="s">
        <v>19</v>
      </c>
      <c r="J21" s="1" t="str">
        <f>HYPERLINK("https://www.kaggle.com/code/sevvalclalcebeciolu/regression-with-a-crab-age-dataset/notebook?scriptVersionId=297398599","View Notebook")</f>
        <v>View Notebook</v>
      </c>
      <c r="K21" s="1" t="str">
        <f>HYPERLINK("https://huggingface.co/spaces/sevvaliclal/CrabAgePredictionApp","Live Demo")</f>
        <v>Live Demo</v>
      </c>
      <c r="L21" s="1" t="str">
        <f>HYPERLINK("https://github.com/sevvaliclalcebecioglu/crab-age-regression","Source Code")</f>
        <v>Source Code</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Şevval İclal Cebecioğlu</cp:lastModifiedBy>
  <dcterms:created xsi:type="dcterms:W3CDTF">2026-02-13T22:21:23Z</dcterms:created>
  <dcterms:modified xsi:type="dcterms:W3CDTF">2026-02-13T22:36:39Z</dcterms:modified>
</cp:coreProperties>
</file>